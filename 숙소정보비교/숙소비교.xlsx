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개인\0D. 학습\바이브코딩\회사업무효율개선\숙소정보비교\"/>
    </mc:Choice>
  </mc:AlternateContent>
  <xr:revisionPtr revIDLastSave="0" documentId="13_ncr:1_{B53AF687-9F77-4477-8817-4F54365467B4}" xr6:coauthVersionLast="47" xr6:coauthVersionMax="47" xr10:uidLastSave="{00000000-0000-0000-0000-000000000000}"/>
  <bookViews>
    <workbookView xWindow="22932" yWindow="-4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F14" i="1"/>
  <c r="F17" i="1" s="1"/>
  <c r="G13" i="1"/>
  <c r="G12" i="1"/>
  <c r="G11" i="1"/>
  <c r="G10" i="1"/>
  <c r="E9" i="1"/>
  <c r="G9" i="1" s="1"/>
  <c r="E8" i="1"/>
  <c r="G7" i="1"/>
  <c r="G6" i="1"/>
  <c r="G8" i="1" l="1"/>
  <c r="G15" i="1" s="1"/>
  <c r="E17" i="1"/>
  <c r="E16" i="1"/>
  <c r="F15" i="1"/>
  <c r="G14" i="1"/>
  <c r="F16" i="1"/>
  <c r="G16" i="1" l="1"/>
  <c r="G17" i="1"/>
</calcChain>
</file>

<file path=xl/sharedStrings.xml><?xml version="1.0" encoding="utf-8"?>
<sst xmlns="http://schemas.openxmlformats.org/spreadsheetml/2006/main" count="144" uniqueCount="127">
  <si>
    <t>2026 펜션 · 풀빌라 예약 가능 숙소 상세 비교표 (경주 · 밀양 · 청도)</t>
  </si>
  <si>
    <t>※ 최종가격 = 기본요금 + 인원추가요금 (수식 자동계산) | 수영장 미온수 및 바비큐 그릴 비용은 현장결제 별도 옵션입니다.</t>
  </si>
  <si>
    <t>숙소명</t>
  </si>
  <si>
    <t>참고사이트</t>
  </si>
  <si>
    <t>요금</t>
  </si>
  <si>
    <t>부대시설</t>
  </si>
  <si>
    <t>숙소위치</t>
  </si>
  <si>
    <t>숙소구조</t>
  </si>
  <si>
    <t>비고</t>
  </si>
  <si>
    <t>기본요금</t>
  </si>
  <si>
    <t>인원추가요금</t>
  </si>
  <si>
    <t>최종가격</t>
  </si>
  <si>
    <t>수영장</t>
  </si>
  <si>
    <t>키즈놀이/장난감</t>
  </si>
  <si>
    <t>바베큐시설</t>
  </si>
  <si>
    <t>기타</t>
  </si>
  <si>
    <t>예약가능룸이름</t>
  </si>
  <si>
    <t>도시</t>
  </si>
  <si>
    <t>근교 주요 관광지</t>
  </si>
  <si>
    <t>별도 거실</t>
  </si>
  <si>
    <t>침실수</t>
  </si>
  <si>
    <t>숙소면적</t>
  </si>
  <si>
    <t>화장실수</t>
  </si>
  <si>
    <t>소록스테이</t>
  </si>
  <si>
    <t>http://www.sorokstay.com/</t>
  </si>
  <si>
    <t>야외수영장(하절기 6~9월 운영, 현재 미운영)
※ 실내 대형 자쿠지 사계절 무료</t>
  </si>
  <si>
    <t>없음
(실내 대형 자쿠지 물놀이 가능)</t>
  </si>
  <si>
    <t>실내 개별 바비큐장
(원적외선 전기그릴, 2만원)</t>
  </si>
  <si>
    <t>실내 대형 자쿠지(1.5m, 무료),
70인치 TV·LG 빔프로젝터,
핸드드립 커피세트</t>
  </si>
  <si>
    <t>ROOM둘
(2층 단독)</t>
  </si>
  <si>
    <t>경주
(외동읍)</t>
  </si>
  <si>
    <t>불국사(5분), 보문관광단지·경주월드(15~20분), 석굴암(20분), 황리단길(25분)</t>
  </si>
  <si>
    <t>O</t>
  </si>
  <si>
    <t>침실 2
(퀸침대 2, 여분침구 1)</t>
  </si>
  <si>
    <t>48평, 단층
(2층 전체 사용)</t>
  </si>
  <si>
    <t>기준 2인 / 최대 8인 | 추가인원 1인당 3만원(유아 2만원, 24개월 이하 무료)
· 48평 대형 통창 논뷰 감성숙소, 실내 자쿠지 온수 무료, 화장실 1개 참고</t>
  </si>
  <si>
    <t>스위트발리풀빌라</t>
  </si>
  <si>
    <t>https://suitebalipoolvilla.imweb.me/</t>
  </si>
  <si>
    <t>야외 단독 수영장
(동절기 10월중순~4월 미운영)</t>
  </si>
  <si>
    <t>없음
(단독 마당 프라이빗 이용)</t>
  </si>
  <si>
    <t>야외 데크/처마 개별 바비큐
(전기바비큐그릴, 3만원)</t>
  </si>
  <si>
    <t>실내 2인 제트스파, 웰컴과일·음료·일리커피, 와인셀러, 제빙기·정수기</t>
  </si>
  <si>
    <t>독채
(하루 1팀)</t>
  </si>
  <si>
    <t>경주
(천북면)</t>
  </si>
  <si>
    <t>보문관광단지·경주월드·동궁원(8~10분), 황리단길·대릉원(15~20분), 불국사(20분)</t>
  </si>
  <si>
    <t>침실 2
(킹침대 2)</t>
  </si>
  <si>
    <t>30평, 단층 독채
(+전용 야외마당)</t>
  </si>
  <si>
    <t>기준 2인 / 최대 6인 | 추가인원 1인당 3만원 (12개월 미만 무료)
· 하루 1팀 발리풍 프라이빗 독채, 각 침실별 전용 욕실(총 2개)로 2가족 이용 편리</t>
  </si>
  <si>
    <t>아이리움 바이 비클래시</t>
  </si>
  <si>
    <t>http://be-classy03.co.kr/</t>
  </si>
  <si>
    <t>실내 개별 수영장 (2.5×5m)
(냉수 3만원 / 미온수 7만원)</t>
  </si>
  <si>
    <t>2층 전체 키즈놀이터
(대형 정글짐, 미끄럼틀, 역할놀이)</t>
  </si>
  <si>
    <t>무료 조식(빵·시리얼·우유·계란),
젖병소독기·유아식기·세탁건조기</t>
  </si>
  <si>
    <t>A타입
(복층 독채)</t>
  </si>
  <si>
    <t>밀양
(초동면)</t>
  </si>
  <si>
    <t>참샘허브나라(도보 5분/차량 1분), 밀양아리랑대공원·우주천문대(20분), 트윈터널·위양지(20분)</t>
  </si>
  <si>
    <t>침실 1 (1층 집중형:
패밀리베드1 + 퀸침대2)</t>
  </si>
  <si>
    <t>40평, 복층 독채
(1층 침실 / 2층 키즈존)</t>
  </si>
  <si>
    <t>기준 4인 / 최대 8인 | 추가인원 1인당 3만원, 기본요금 10% 할인(4만원 쿠폰) 적용
· A타입 특징: 침대 3개가 모두 1층에 모여 있어 영유아 잠자리 안전성 우수</t>
  </si>
  <si>
    <t>1층 키즈놀이터
(대형 정글짐, 미끄럼틀, 역할놀이)</t>
  </si>
  <si>
    <t>B타입
(복층 독채)</t>
  </si>
  <si>
    <t>침실 2 (1·2층 분리형:
1층 패밀리1 + 2층 패밀리1)</t>
  </si>
  <si>
    <t>45평, 복층 독채
(1층 키즈존 / 2층 침실)</t>
  </si>
  <si>
    <t>기준 4인 / 최대 8인 | 추가인원 1인당 3만원, 기본요금 10% 할인 적용
· B타입 특징: 45평으로 더 넓고 1층 거실 옆 키즈존 배치로 아이 케어 용이, 침실 층간 분리</t>
  </si>
  <si>
    <t>풍경 한옥&amp;풀스테이</t>
  </si>
  <si>
    <t>http://xn--289a76k87lq5kwnijnb.com/</t>
  </si>
  <si>
    <t>야외 공용 대형 수영장
(하절기 5~9월 운영 / 특실 내 개별풀 없음)</t>
  </si>
  <si>
    <t>대형 공용 실내놀이방
(트램펄린, 오락기, 탁구대, 민속놀이)</t>
  </si>
  <si>
    <t>호수뷰 개별 테라스 바비큐
(전기그릴 2만원 / 숯불 3만원)</t>
  </si>
  <si>
    <t>공용노래방, 단지 내 카페·매점,
성곡저수지 수변 산책로</t>
  </si>
  <si>
    <t>한옥특실3호</t>
  </si>
  <si>
    <t>청도
(풍각면 성곡지)</t>
  </si>
  <si>
    <t>성곡저수지 둘레길(도보 1분), 청도읍성·레일바이크(20분), 청도프로방스·와인터널·루지(25~30분)</t>
  </si>
  <si>
    <t>침실 1 (거실 + 독립방 1
+ 호수뷰 개별테라스, 온돌/침구)</t>
  </si>
  <si>
    <t>약 28평, 단층 한옥
(단체형 대형 객실)</t>
  </si>
  <si>
    <t>기준 4인 / 최대 10인 | 추가인원 성인 3만, 아동 2만, 유아 1만
· 숙소 바로 앞 성곡지 호수뷰로 휴식 최적, 전체 후보 중 최저가(31.9만) &amp; 놀이방·노래방 구비</t>
  </si>
  <si>
    <t>아크홈</t>
  </si>
  <si>
    <t>https://blog.naver.com/ac_hrome</t>
  </si>
  <si>
    <t>야외 단독 풀장 (미온수 5~7만 / 냉수 3만)
+ 실내 자쿠지(사계절 무료)</t>
  </si>
  <si>
    <t>야외 모래놀이장(무료), 보드게임,
키즈 장난감(1만)·스윔용품(5천원)</t>
  </si>
  <si>
    <t>야외 개별 바비큐장
(바비큐 이용료 2만원)</t>
  </si>
  <si>
    <t>실내 자쿠지(무료), 불멍존, 스탠바이미·제네바스피커·식기세척기·네스프레소</t>
  </si>
  <si>
    <t>아크홈 독채
(하루 1팀)</t>
  </si>
  <si>
    <t>밀양
(산내면)</t>
  </si>
  <si>
    <t>밀양얼음골·케이블카(10~15분), 호박소(15분), 표충사(20분), 트윈터널(25분)</t>
  </si>
  <si>
    <t>침실 2 (퀸침대 2개
+ 5인 이상 토퍼·침구 추가)</t>
  </si>
  <si>
    <t>30평(97㎡), 단층 독채
(+야외 풀장·마당)</t>
  </si>
  <si>
    <t>기준 2인(4인 침대 세팅) / 최대 8인 | 추가 1인 2만원(48개월 미만 1인 무료)
· 밀양반값여행 가능: 사전신청 + 제로페이 결제 + 관광지 2곳 인증 시 50% 환급(인접지자체 거주자 제외)</t>
  </si>
  <si>
    <t>꿈꾸던 하루 풀빌라</t>
  </si>
  <si>
    <t>https://www.instagram.com/dreaming__day</t>
  </si>
  <si>
    <t>실내 단독 온수 수영장
(24시간 이용, 미온수 5만원)</t>
  </si>
  <si>
    <t>전용 잔디마당(야외 활동),
실내 온수풀 물놀이, 유아식기</t>
  </si>
  <si>
    <t>분리형 개별 바비큐장
(전기바비큐그릴, 무료)</t>
  </si>
  <si>
    <t>무료 조식(치아바타 or 크로와상 샌드위치),
야외 벽난로 장작 불멍존</t>
  </si>
  <si>
    <t>독채
(A동 / B동)</t>
  </si>
  <si>
    <t>불국사(10~15분), 보문관광단지·경주월드(20분), 석굴암(25분), 황리단길(25분)</t>
  </si>
  <si>
    <t>침실 2
(거실 + 방 2개)</t>
  </si>
  <si>
    <t>약 35평, 단층 독채
(+전용 잔디마당)</t>
  </si>
  <si>
    <t>기준 2~4인 / 최대 8인 | 추가인원 1인당 2만원
· 날씨 무관한 24시간 실내 온수풀 + 전기그릴 무료 + 수제 샌드위치 조식 무료로 부대비용 절감</t>
  </si>
  <si>
    <t>자두</t>
  </si>
  <si>
    <t>https://map.naver.com/p/entry/place/1706435203?placePath=%2Finformation%3FadditionalHeight%3D76%26businessCategory%3Dpension%26entry%3Dplt%26fromPanelNum%3D1%26locale%3Dko%26svcName%3Dmap_pcv5%26timestamp%3D202610131328&amp;searchType=place&amp;lng=129.3171881&amp;lat=35.7896280&amp;c=15.00,0,0,0,dh</t>
  </si>
  <si>
    <t>프라이빗 미니풀 / 자쿠지
(미온수 7만원)</t>
  </si>
  <si>
    <t>없음
(프라이빗 마당 및 미니풀 이용)</t>
  </si>
  <si>
    <t>개별 바비큐장
(바비큐 그릴 2~3만원)</t>
  </si>
  <si>
    <t>프라이빗 잔디마당·정원,
야외 불멍존, 감성 다이닝·다도 공간</t>
  </si>
  <si>
    <t>경주
(하동)</t>
  </si>
  <si>
    <t>경주민속공예촌(3분), 불국사(5분), 보문관광단지·경주월드(8~10분), 황리단길(20분)</t>
  </si>
  <si>
    <t>침실 2
(침대 3개)</t>
  </si>
  <si>
    <t>약 30평, 단층 독채
(하동 큰마을 단지)</t>
  </si>
  <si>
    <t>기준 4인 / 최대 8인 | 추가인원 1인당 2.5만원
· 불국사 5분·보문단지 8분 핵심 입지, 침실 2개·침대 3개·욕실 2개 구조로 다인원 가성비 우수</t>
  </si>
  <si>
    <t>경주노을마루</t>
  </si>
  <si>
    <t>https://map.naver.com/p/search/%EB%85%B8%EC%9D%84%EB%A7%88%EB%A3%A8/place/2089154777?c=15.00,0,0,0,dh&amp;placePath=%2Fhome%3Fbk_query%3D%EB%85%B8%EC%9D%84%EB%A7%88%EB%A3%A8%26entry%3Dbmp%26from%3Dmap%26fromPanelNum%3D2%26timestamp%3D202610131336%26locale%3Dko%26svcName%3Dmap_pcv5%26searchText%3D%EB%85%B8%EC%9D%84%EB%A7%88%EB%A3%A8%26businessCategory%3Dpension</t>
  </si>
  <si>
    <t>없음
(전원주택형 독채 잔디마당)</t>
  </si>
  <si>
    <t>없음
(넓은 야외 잔디정원 활동 가능)</t>
  </si>
  <si>
    <t>야외 개별 테라스/마당 바비큐
(숯불/그릴 2~3만원)</t>
  </si>
  <si>
    <t>노을뷰 테라스, 잔디 정원,
야외 불멍 공간 (2026 신축급 독채)</t>
  </si>
  <si>
    <t>노을마루 독채</t>
  </si>
  <si>
    <t>경주
(율동)</t>
  </si>
  <si>
    <t>무열왕릉(5분), 경주역·경주IC(10분), 황리단길·대릉원·첨성대(10~15분), 경주남산(15분)</t>
  </si>
  <si>
    <t>약 28평, 독채
(대지 약 140평 정원)</t>
  </si>
  <si>
    <t>기준 4인 / 최대 8인 | 추가인원 1인당 2만원 (4인 추가 시 8만원)
· 황리단길·경주역 10분 거리 도초마을 노을뷰 신축급 독채, 경주 독채 중 최저가(36만)</t>
  </si>
  <si>
    <t>평균 요금 (9개 객실 기준)</t>
  </si>
  <si>
    <t>※ 9개 후보 객실 평균 최종가격: 437,244원 (기본요금 평균 362,800원 + 인원추가 평균 74,444원)</t>
  </si>
  <si>
    <t>최저 요금 (MIN)</t>
  </si>
  <si>
    <t>※ 최저 최종가격 숙소: 풍경 한옥&amp;풀스테이 (319,000원) / 경주노을마루 (360,000원) / 자두 (390,000원)</t>
  </si>
  <si>
    <t>최고 요금 (MAX)</t>
  </si>
  <si>
    <t>※ 최고 최종가격 숙소: 스위트발리풀빌라 (600,000원) / 꿈꾸던 하루 풀빌라 (530,000원, 그릴·조식 무료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</si>
</sst>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name val="맑은 고딕"/>
      <family val="3"/>
      <charset val="129"/>
    </font>
    <font>
      <b/>
      <sz val="15"/>
      <color rgb="FFFFFFFF"/>
      <name val="맑은 고딕"/>
      <family val="3"/>
      <charset val="129"/>
    </font>
    <font>
      <sz val="9.5"/>
      <color rgb="FF334E68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102A43"/>
      <name val="맑은 고딕"/>
      <family val="3"/>
      <charset val="129"/>
    </font>
    <font>
      <sz val="9.5"/>
      <color rgb="FF1E293B"/>
      <name val="맑은 고딕"/>
      <family val="3"/>
      <charset val="129"/>
    </font>
    <font>
      <b/>
      <sz val="10.5"/>
      <color rgb="FF0F172A"/>
      <name val="맑은 고딕"/>
      <family val="3"/>
      <charset val="129"/>
    </font>
    <font>
      <u/>
      <sz val="8.5"/>
      <color rgb="FF2563EB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0.5"/>
      <color rgb="FF92400E"/>
      <name val="맑은 고딕"/>
      <family val="3"/>
      <charset val="129"/>
    </font>
    <font>
      <sz val="9"/>
      <color rgb="FFB91C1C"/>
      <name val="맑은 고딕"/>
      <family val="3"/>
      <charset val="129"/>
    </font>
    <font>
      <b/>
      <sz val="9.5"/>
      <color rgb="FF1E293B"/>
      <name val="맑은 고딕"/>
      <family val="3"/>
      <charset val="129"/>
    </font>
    <font>
      <b/>
      <sz val="10"/>
      <color rgb="FF0F172A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rgb="FF0F766E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92400E"/>
      <name val="맑은 고딕"/>
      <family val="3"/>
      <charset val="129"/>
    </font>
    <font>
      <sz val="9"/>
      <color rgb="FF334155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102A43"/>
        <bgColor rgb="FF102A43"/>
      </patternFill>
    </fill>
    <fill>
      <patternFill patternType="solid">
        <fgColor rgb="FFE6EEF8"/>
        <bgColor rgb="FFE6EEF8"/>
      </patternFill>
    </fill>
    <fill>
      <patternFill patternType="solid">
        <fgColor rgb="FF1D4ED8"/>
        <bgColor rgb="FF1D4ED8"/>
      </patternFill>
    </fill>
    <fill>
      <patternFill patternType="solid">
        <fgColor rgb="FFDBEAFE"/>
        <bgColor rgb="FFDBEAFE"/>
      </patternFill>
    </fill>
    <fill>
      <patternFill patternType="solid">
        <fgColor rgb="FF0F766E"/>
        <bgColor rgb="FF0F766E"/>
      </patternFill>
    </fill>
    <fill>
      <patternFill patternType="solid">
        <fgColor rgb="FFCCFBF1"/>
        <bgColor rgb="FFCCFBF1"/>
      </patternFill>
    </fill>
    <fill>
      <patternFill patternType="solid">
        <fgColor rgb="FF4338CA"/>
        <bgColor rgb="FF4338CA"/>
      </patternFill>
    </fill>
    <fill>
      <patternFill patternType="solid">
        <fgColor rgb="FFE0E7FF"/>
        <bgColor rgb="FFE0E7FF"/>
      </patternFill>
    </fill>
    <fill>
      <patternFill patternType="solid">
        <fgColor rgb="FF1E3A8A"/>
        <bgColor rgb="FF1E3A8A"/>
      </patternFill>
    </fill>
    <fill>
      <patternFill patternType="solid">
        <fgColor rgb="FFDCE7F9"/>
        <bgColor rgb="FFDCE7F9"/>
      </patternFill>
    </fill>
    <fill>
      <patternFill patternType="solid">
        <fgColor rgb="FFFFFFFF"/>
        <bgColor rgb="FFFFFFFF"/>
      </patternFill>
    </fill>
    <fill>
      <patternFill patternType="solid">
        <fgColor rgb="FFEDF2F7"/>
        <bgColor rgb="FFEDF2F7"/>
      </patternFill>
    </fill>
    <fill>
      <patternFill patternType="solid">
        <fgColor rgb="FFFEF9C3"/>
        <bgColor rgb="FFFEF9C3"/>
      </patternFill>
    </fill>
    <fill>
      <patternFill patternType="solid">
        <fgColor rgb="FFF4F7FB"/>
        <bgColor rgb="FFF4F7FB"/>
      </patternFill>
    </fill>
    <fill>
      <patternFill patternType="solid">
        <fgColor rgb="FFE2E8F0"/>
        <bgColor rgb="FFE2E8F0"/>
      </patternFill>
    </fill>
    <fill>
      <patternFill patternType="solid">
        <fgColor rgb="FFFEF08A"/>
        <bgColor rgb="FFFEF08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102A43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02A43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02A43"/>
      </bottom>
      <diagonal/>
    </border>
  </borders>
  <cellStyleXfs count="3">
    <xf numFmtId="0" fontId="0" fillId="0" borderId="0">
      <alignment vertical="center"/>
    </xf>
    <xf numFmtId="41" fontId="1" fillId="0" borderId="0">
      <alignment vertical="center"/>
    </xf>
    <xf numFmtId="0" fontId="3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8" fillId="5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center" vertical="center" wrapText="1"/>
    </xf>
    <xf numFmtId="0" fontId="11" fillId="12" borderId="4" xfId="2" applyFont="1" applyFill="1" applyBorder="1" applyAlignment="1">
      <alignment horizontal="left" vertical="center" wrapText="1"/>
    </xf>
    <xf numFmtId="3" fontId="12" fillId="12" borderId="4" xfId="1" applyNumberFormat="1" applyFont="1" applyFill="1" applyBorder="1" applyAlignment="1">
      <alignment horizontal="right" vertical="center"/>
    </xf>
    <xf numFmtId="3" fontId="13" fillId="14" borderId="4" xfId="1" applyNumberFormat="1" applyFont="1" applyFill="1" applyBorder="1" applyAlignment="1">
      <alignment horizontal="right" vertical="center"/>
    </xf>
    <xf numFmtId="0" fontId="14" fillId="12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5" fillId="12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left" vertical="center" wrapText="1"/>
    </xf>
    <xf numFmtId="0" fontId="16" fillId="12" borderId="4" xfId="0" applyFont="1" applyFill="1" applyBorder="1" applyAlignment="1">
      <alignment horizontal="center" vertical="center" wrapText="1"/>
    </xf>
    <xf numFmtId="0" fontId="10" fillId="16" borderId="4" xfId="0" applyFont="1" applyFill="1" applyBorder="1" applyAlignment="1">
      <alignment horizontal="center" vertical="center" wrapText="1"/>
    </xf>
    <xf numFmtId="0" fontId="11" fillId="15" borderId="4" xfId="2" applyFont="1" applyFill="1" applyBorder="1" applyAlignment="1">
      <alignment horizontal="left" vertical="center" wrapText="1"/>
    </xf>
    <xf numFmtId="3" fontId="12" fillId="15" borderId="4" xfId="1" applyNumberFormat="1" applyFont="1" applyFill="1" applyBorder="1" applyAlignment="1">
      <alignment horizontal="right" vertical="center"/>
    </xf>
    <xf numFmtId="3" fontId="13" fillId="17" borderId="4" xfId="1" applyNumberFormat="1" applyFont="1" applyFill="1" applyBorder="1" applyAlignment="1">
      <alignment horizontal="right" vertical="center"/>
    </xf>
    <xf numFmtId="0" fontId="14" fillId="15" borderId="4" xfId="0" applyFont="1" applyFill="1" applyBorder="1" applyAlignment="1">
      <alignment horizontal="center" vertical="center" wrapText="1"/>
    </xf>
    <xf numFmtId="0" fontId="9" fillId="15" borderId="4" xfId="0" applyFont="1" applyFill="1" applyBorder="1" applyAlignment="1">
      <alignment horizontal="center" vertical="center" wrapText="1"/>
    </xf>
    <xf numFmtId="0" fontId="15" fillId="15" borderId="4" xfId="0" applyFont="1" applyFill="1" applyBorder="1" applyAlignment="1">
      <alignment horizontal="center" vertical="center" wrapText="1"/>
    </xf>
    <xf numFmtId="0" fontId="9" fillId="15" borderId="4" xfId="0" applyFont="1" applyFill="1" applyBorder="1" applyAlignment="1">
      <alignment horizontal="left" vertical="center" wrapText="1"/>
    </xf>
    <xf numFmtId="0" fontId="16" fillId="15" borderId="4" xfId="0" applyFont="1" applyFill="1" applyBorder="1" applyAlignment="1">
      <alignment horizontal="center" vertical="center" wrapText="1"/>
    </xf>
    <xf numFmtId="3" fontId="17" fillId="12" borderId="4" xfId="1" applyNumberFormat="1" applyFont="1" applyFill="1" applyBorder="1" applyAlignment="1">
      <alignment horizontal="right" vertical="center"/>
    </xf>
    <xf numFmtId="0" fontId="18" fillId="12" borderId="4" xfId="0" applyFont="1" applyFill="1" applyBorder="1" applyAlignment="1">
      <alignment horizontal="center" vertical="center" wrapText="1"/>
    </xf>
    <xf numFmtId="0" fontId="18" fillId="15" borderId="4" xfId="0" applyFont="1" applyFill="1" applyBorder="1" applyAlignment="1">
      <alignment horizontal="center" vertical="center" wrapText="1"/>
    </xf>
    <xf numFmtId="3" fontId="17" fillId="15" borderId="4" xfId="1" applyNumberFormat="1" applyFont="1" applyFill="1" applyBorder="1" applyAlignment="1">
      <alignment horizontal="right" vertical="center"/>
    </xf>
    <xf numFmtId="0" fontId="4" fillId="0" borderId="1" xfId="0" applyFont="1" applyBorder="1" applyAlignment="1"/>
    <xf numFmtId="3" fontId="19" fillId="16" borderId="2" xfId="0" applyNumberFormat="1" applyFont="1" applyFill="1" applyBorder="1" applyAlignment="1">
      <alignment horizontal="right" vertical="center"/>
    </xf>
    <xf numFmtId="3" fontId="20" fillId="16" borderId="2" xfId="0" applyNumberFormat="1" applyFont="1" applyFill="1" applyBorder="1" applyAlignment="1">
      <alignment horizontal="right" vertical="center"/>
    </xf>
    <xf numFmtId="3" fontId="19" fillId="16" borderId="4" xfId="0" applyNumberFormat="1" applyFont="1" applyFill="1" applyBorder="1" applyAlignment="1">
      <alignment horizontal="right" vertical="center"/>
    </xf>
    <xf numFmtId="3" fontId="20" fillId="16" borderId="4" xfId="0" applyNumberFormat="1" applyFont="1" applyFill="1" applyBorder="1" applyAlignment="1">
      <alignment horizontal="right" vertical="center"/>
    </xf>
    <xf numFmtId="3" fontId="19" fillId="16" borderId="5" xfId="0" applyNumberFormat="1" applyFont="1" applyFill="1" applyBorder="1" applyAlignment="1">
      <alignment horizontal="right" vertical="center"/>
    </xf>
    <xf numFmtId="3" fontId="20" fillId="16" borderId="5" xfId="0" applyNumberFormat="1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15" fillId="16" borderId="5" xfId="0" applyFont="1" applyFill="1" applyBorder="1" applyAlignment="1">
      <alignment horizontal="center" vertical="center"/>
    </xf>
    <xf numFmtId="0" fontId="21" fillId="16" borderId="5" xfId="0" applyFont="1" applyFill="1" applyBorder="1" applyAlignment="1">
      <alignment horizontal="left" vertical="center"/>
    </xf>
    <xf numFmtId="0" fontId="15" fillId="16" borderId="4" xfId="0" applyFont="1" applyFill="1" applyBorder="1" applyAlignment="1">
      <alignment horizontal="center" vertical="center"/>
    </xf>
    <xf numFmtId="0" fontId="21" fillId="16" borderId="4" xfId="0" applyFont="1" applyFill="1" applyBorder="1" applyAlignment="1">
      <alignment horizontal="left" vertical="center"/>
    </xf>
    <xf numFmtId="0" fontId="11" fillId="12" borderId="4" xfId="2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21" fillId="16" borderId="2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right" vertical="center"/>
    </xf>
    <xf numFmtId="0" fontId="10" fillId="13" borderId="4" xfId="0" applyFont="1" applyFill="1" applyBorder="1" applyAlignment="1">
      <alignment horizontal="center" vertical="center" wrapText="1"/>
    </xf>
    <xf numFmtId="0" fontId="15" fillId="16" borderId="2" xfId="0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.naver.com/p/search/%EB%85%B8%EC%9D%84%EB%A7%88%EB%A3%A8/place/2089154777?c=15.00,0,0,0,dh&amp;placePath=%2Fhome%3Fbk_query%3D%EB%85%B8%EC%9D%84%EB%A7%88%EB%A3%A8%26entry%3Dbmp%26from%3Dmap%26fromPanelNum%3D2%26timestamp%3D202610131336%26locale%3Dko%26svcName%3Dmap_pcv5%26searchText%3D%EB%85%B8%EC%9D%84%EB%A7%88%EB%A3%A8%26businessCategory%3Dpension" TargetMode="External"/><Relationship Id="rId3" Type="http://schemas.openxmlformats.org/officeDocument/2006/relationships/hyperlink" Target="http://be-classy03.co.kr/" TargetMode="External"/><Relationship Id="rId7" Type="http://schemas.openxmlformats.org/officeDocument/2006/relationships/hyperlink" Target="https://map.naver.com/p/entry/place/1706435203?placePath=%2Finformation%3FadditionalHeight%3D76%26businessCategory%3Dpension%26entry%3Dplt%26fromPanelNum%3D1%26locale%3Dko%26svcName%3Dmap_pcv5%26timestamp%3D202610131328&amp;searchType=place&amp;lng=129.3171881&amp;lat=35.7896280&amp;c=15.00,0,0,0,dh" TargetMode="External"/><Relationship Id="rId2" Type="http://schemas.openxmlformats.org/officeDocument/2006/relationships/hyperlink" Target="https://suitebalipoolvilla.imweb.me/" TargetMode="External"/><Relationship Id="rId1" Type="http://schemas.openxmlformats.org/officeDocument/2006/relationships/hyperlink" Target="http://www.sorokstay.com/" TargetMode="External"/><Relationship Id="rId6" Type="http://schemas.openxmlformats.org/officeDocument/2006/relationships/hyperlink" Target="https://www.instagram.com/dreaming__day" TargetMode="External"/><Relationship Id="rId5" Type="http://schemas.openxmlformats.org/officeDocument/2006/relationships/hyperlink" Target="https://blog.naver.com/ac_hrome" TargetMode="External"/><Relationship Id="rId4" Type="http://schemas.openxmlformats.org/officeDocument/2006/relationships/hyperlink" Target="http://&#52397;&#46020;&#54413;&#44221;&#54172;&#49496;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8"/>
  <sheetViews>
    <sheetView tabSelected="1" zoomScale="70" zoomScaleNormal="70" workbookViewId="0">
      <pane xSplit="3" ySplit="5" topLeftCell="D6" activePane="bottomRight" state="frozen"/>
      <selection pane="topRight"/>
      <selection pane="bottomLeft"/>
      <selection pane="bottomRight" activeCell="I33" sqref="I33"/>
    </sheetView>
  </sheetViews>
  <sheetFormatPr defaultRowHeight="16.5" x14ac:dyDescent="0.3"/>
  <cols>
    <col min="1" max="2" width="3" style="2" customWidth="1"/>
    <col min="3" max="3" width="20" style="2" bestFit="1" customWidth="1"/>
    <col min="4" max="4" width="28" style="1" bestFit="1" customWidth="1"/>
    <col min="5" max="6" width="14" style="2" bestFit="1" customWidth="1"/>
    <col min="7" max="7" width="15" style="2" customWidth="1"/>
    <col min="8" max="8" width="26" style="2" customWidth="1"/>
    <col min="9" max="9" width="25" style="2" bestFit="1" customWidth="1"/>
    <col min="10" max="10" width="24" style="2" customWidth="1"/>
    <col min="11" max="11" width="28" style="2" bestFit="1" customWidth="1"/>
    <col min="12" max="12" width="15" style="1" customWidth="1"/>
    <col min="13" max="13" width="14" style="2" bestFit="1" customWidth="1"/>
    <col min="14" max="14" width="34" style="2" bestFit="1" customWidth="1"/>
    <col min="15" max="15" width="10" style="2" customWidth="1"/>
    <col min="16" max="16" width="22" style="2" bestFit="1" customWidth="1"/>
    <col min="17" max="17" width="20" style="2" customWidth="1"/>
    <col min="18" max="18" width="10" style="2" customWidth="1"/>
    <col min="19" max="19" width="52" style="2" customWidth="1"/>
  </cols>
  <sheetData>
    <row r="1" spans="1:27" ht="12" customHeight="1" x14ac:dyDescent="0.3"/>
    <row r="2" spans="1:27" ht="38.1" customHeight="1" x14ac:dyDescent="0.3">
      <c r="C2" s="37" t="s">
        <v>0</v>
      </c>
      <c r="D2" s="38"/>
      <c r="E2" s="39"/>
      <c r="F2" s="39"/>
      <c r="G2" s="39"/>
      <c r="H2" s="39"/>
      <c r="I2" s="39"/>
      <c r="J2" s="39"/>
      <c r="K2" s="39"/>
      <c r="L2" s="38"/>
      <c r="M2" s="39"/>
      <c r="N2" s="39"/>
      <c r="O2" s="39"/>
      <c r="P2" s="39"/>
      <c r="Q2" s="39"/>
      <c r="R2" s="39"/>
      <c r="S2" s="39"/>
    </row>
    <row r="3" spans="1:27" ht="21.95" customHeight="1" x14ac:dyDescent="0.3">
      <c r="C3" s="53" t="s">
        <v>1</v>
      </c>
      <c r="D3" s="38"/>
      <c r="E3" s="39"/>
      <c r="F3" s="39"/>
      <c r="G3" s="39"/>
      <c r="H3" s="39"/>
      <c r="I3" s="39"/>
      <c r="J3" s="39"/>
      <c r="K3" s="39"/>
      <c r="L3" s="38"/>
      <c r="M3" s="39"/>
      <c r="N3" s="39"/>
      <c r="O3" s="39"/>
      <c r="P3" s="39"/>
      <c r="Q3" s="39"/>
      <c r="R3" s="39"/>
      <c r="S3" s="39"/>
    </row>
    <row r="4" spans="1:27" ht="26.1" customHeight="1" x14ac:dyDescent="0.3">
      <c r="C4" s="40" t="s">
        <v>2</v>
      </c>
      <c r="D4" s="40" t="s">
        <v>3</v>
      </c>
      <c r="E4" s="49" t="s">
        <v>4</v>
      </c>
      <c r="F4" s="49"/>
      <c r="G4" s="49"/>
      <c r="H4" s="50" t="s">
        <v>5</v>
      </c>
      <c r="I4" s="50"/>
      <c r="J4" s="50"/>
      <c r="K4" s="50"/>
      <c r="L4" s="42" t="s">
        <v>6</v>
      </c>
      <c r="M4" s="42"/>
      <c r="N4" s="42"/>
      <c r="O4" s="51" t="s">
        <v>7</v>
      </c>
      <c r="P4" s="51"/>
      <c r="Q4" s="51"/>
      <c r="R4" s="51"/>
      <c r="S4" s="40" t="s">
        <v>8</v>
      </c>
    </row>
    <row r="5" spans="1:27" ht="26.1" customHeight="1" x14ac:dyDescent="0.3">
      <c r="C5" s="41"/>
      <c r="D5" s="41"/>
      <c r="E5" s="3" t="s">
        <v>9</v>
      </c>
      <c r="F5" s="3" t="s">
        <v>10</v>
      </c>
      <c r="G5" s="3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5" t="s">
        <v>16</v>
      </c>
      <c r="M5" s="5" t="s">
        <v>17</v>
      </c>
      <c r="N5" s="5" t="s">
        <v>18</v>
      </c>
      <c r="O5" s="6" t="s">
        <v>19</v>
      </c>
      <c r="P5" s="6" t="s">
        <v>20</v>
      </c>
      <c r="Q5" s="6" t="s">
        <v>21</v>
      </c>
      <c r="R5" s="6" t="s">
        <v>22</v>
      </c>
      <c r="S5" s="41"/>
    </row>
    <row r="6" spans="1:27" ht="54" customHeight="1" x14ac:dyDescent="0.3">
      <c r="C6" s="7" t="s">
        <v>23</v>
      </c>
      <c r="D6" s="8" t="s">
        <v>24</v>
      </c>
      <c r="E6" s="9">
        <v>320000</v>
      </c>
      <c r="F6" s="9">
        <v>120000</v>
      </c>
      <c r="G6" s="10">
        <f t="shared" ref="G6:G14" si="0">E6+F6</f>
        <v>440000</v>
      </c>
      <c r="H6" s="11" t="s">
        <v>25</v>
      </c>
      <c r="I6" s="12" t="s">
        <v>26</v>
      </c>
      <c r="J6" s="12" t="s">
        <v>27</v>
      </c>
      <c r="K6" s="12" t="s">
        <v>28</v>
      </c>
      <c r="L6" s="13" t="s">
        <v>29</v>
      </c>
      <c r="M6" s="12" t="s">
        <v>30</v>
      </c>
      <c r="N6" s="14" t="s">
        <v>31</v>
      </c>
      <c r="O6" s="15" t="s">
        <v>32</v>
      </c>
      <c r="P6" s="12" t="s">
        <v>33</v>
      </c>
      <c r="Q6" s="12" t="s">
        <v>34</v>
      </c>
      <c r="R6" s="15">
        <v>1</v>
      </c>
      <c r="S6" s="14" t="s">
        <v>35</v>
      </c>
    </row>
    <row r="7" spans="1:27" ht="54" customHeight="1" x14ac:dyDescent="0.3">
      <c r="C7" s="16" t="s">
        <v>36</v>
      </c>
      <c r="D7" s="17" t="s">
        <v>37</v>
      </c>
      <c r="E7" s="18">
        <v>480000</v>
      </c>
      <c r="F7" s="18">
        <v>120000</v>
      </c>
      <c r="G7" s="19">
        <f t="shared" si="0"/>
        <v>600000</v>
      </c>
      <c r="H7" s="20" t="s">
        <v>38</v>
      </c>
      <c r="I7" s="21" t="s">
        <v>39</v>
      </c>
      <c r="J7" s="21" t="s">
        <v>40</v>
      </c>
      <c r="K7" s="21" t="s">
        <v>41</v>
      </c>
      <c r="L7" s="22" t="s">
        <v>42</v>
      </c>
      <c r="M7" s="21" t="s">
        <v>43</v>
      </c>
      <c r="N7" s="23" t="s">
        <v>44</v>
      </c>
      <c r="O7" s="24" t="s">
        <v>32</v>
      </c>
      <c r="P7" s="21" t="s">
        <v>45</v>
      </c>
      <c r="Q7" s="21" t="s">
        <v>46</v>
      </c>
      <c r="R7" s="24">
        <v>2</v>
      </c>
      <c r="S7" s="23" t="s">
        <v>47</v>
      </c>
    </row>
    <row r="8" spans="1:27" ht="54" customHeight="1" x14ac:dyDescent="0.3">
      <c r="C8" s="54" t="s">
        <v>48</v>
      </c>
      <c r="D8" s="47" t="s">
        <v>49</v>
      </c>
      <c r="E8" s="25">
        <f>399000*0.9</f>
        <v>359100</v>
      </c>
      <c r="F8" s="9">
        <v>60000</v>
      </c>
      <c r="G8" s="10">
        <f t="shared" si="0"/>
        <v>419100</v>
      </c>
      <c r="H8" s="26" t="s">
        <v>50</v>
      </c>
      <c r="I8" s="12" t="s">
        <v>51</v>
      </c>
      <c r="J8" s="12" t="s">
        <v>27</v>
      </c>
      <c r="K8" s="12" t="s">
        <v>52</v>
      </c>
      <c r="L8" s="13" t="s">
        <v>53</v>
      </c>
      <c r="M8" s="12" t="s">
        <v>54</v>
      </c>
      <c r="N8" s="14" t="s">
        <v>55</v>
      </c>
      <c r="O8" s="15" t="s">
        <v>32</v>
      </c>
      <c r="P8" s="12" t="s">
        <v>56</v>
      </c>
      <c r="Q8" s="12" t="s">
        <v>57</v>
      </c>
      <c r="R8" s="15">
        <v>1</v>
      </c>
      <c r="S8" s="14" t="s">
        <v>58</v>
      </c>
    </row>
    <row r="9" spans="1:27" ht="54" customHeight="1" x14ac:dyDescent="0.3">
      <c r="C9" s="54"/>
      <c r="D9" s="48"/>
      <c r="E9" s="25">
        <f>419000*0.9</f>
        <v>377100</v>
      </c>
      <c r="F9" s="9">
        <v>60000</v>
      </c>
      <c r="G9" s="10">
        <f t="shared" si="0"/>
        <v>437100</v>
      </c>
      <c r="H9" s="26" t="s">
        <v>50</v>
      </c>
      <c r="I9" s="12" t="s">
        <v>59</v>
      </c>
      <c r="J9" s="12" t="s">
        <v>27</v>
      </c>
      <c r="K9" s="12" t="s">
        <v>52</v>
      </c>
      <c r="L9" s="13" t="s">
        <v>60</v>
      </c>
      <c r="M9" s="12" t="s">
        <v>54</v>
      </c>
      <c r="N9" s="14" t="s">
        <v>55</v>
      </c>
      <c r="O9" s="15" t="s">
        <v>32</v>
      </c>
      <c r="P9" s="12" t="s">
        <v>61</v>
      </c>
      <c r="Q9" s="12" t="s">
        <v>62</v>
      </c>
      <c r="R9" s="15">
        <v>1</v>
      </c>
      <c r="S9" s="14" t="s">
        <v>63</v>
      </c>
    </row>
    <row r="10" spans="1:27" ht="54" customHeight="1" x14ac:dyDescent="0.3">
      <c r="C10" s="16" t="s">
        <v>64</v>
      </c>
      <c r="D10" s="17" t="s">
        <v>65</v>
      </c>
      <c r="E10" s="18">
        <v>279000</v>
      </c>
      <c r="F10" s="18">
        <v>40000</v>
      </c>
      <c r="G10" s="19">
        <f t="shared" si="0"/>
        <v>319000</v>
      </c>
      <c r="H10" s="20" t="s">
        <v>66</v>
      </c>
      <c r="I10" s="21" t="s">
        <v>67</v>
      </c>
      <c r="J10" s="21" t="s">
        <v>68</v>
      </c>
      <c r="K10" s="21" t="s">
        <v>69</v>
      </c>
      <c r="L10" s="22" t="s">
        <v>70</v>
      </c>
      <c r="M10" s="21" t="s">
        <v>71</v>
      </c>
      <c r="N10" s="23" t="s">
        <v>72</v>
      </c>
      <c r="O10" s="24" t="s">
        <v>32</v>
      </c>
      <c r="P10" s="21" t="s">
        <v>73</v>
      </c>
      <c r="Q10" s="21" t="s">
        <v>74</v>
      </c>
      <c r="R10" s="24">
        <v>1</v>
      </c>
      <c r="S10" s="23" t="s">
        <v>75</v>
      </c>
    </row>
    <row r="11" spans="1:27" ht="54" customHeight="1" x14ac:dyDescent="0.3">
      <c r="C11" s="7" t="s">
        <v>76</v>
      </c>
      <c r="D11" s="8" t="s">
        <v>77</v>
      </c>
      <c r="E11" s="9">
        <v>380000</v>
      </c>
      <c r="F11" s="9">
        <v>60000</v>
      </c>
      <c r="G11" s="10">
        <f t="shared" si="0"/>
        <v>440000</v>
      </c>
      <c r="H11" s="26" t="s">
        <v>78</v>
      </c>
      <c r="I11" s="12" t="s">
        <v>79</v>
      </c>
      <c r="J11" s="12" t="s">
        <v>80</v>
      </c>
      <c r="K11" s="12" t="s">
        <v>81</v>
      </c>
      <c r="L11" s="13" t="s">
        <v>82</v>
      </c>
      <c r="M11" s="12" t="s">
        <v>83</v>
      </c>
      <c r="N11" s="14" t="s">
        <v>84</v>
      </c>
      <c r="O11" s="15" t="s">
        <v>32</v>
      </c>
      <c r="P11" s="12" t="s">
        <v>85</v>
      </c>
      <c r="Q11" s="12" t="s">
        <v>86</v>
      </c>
      <c r="R11" s="15">
        <v>1</v>
      </c>
      <c r="S11" s="14" t="s">
        <v>87</v>
      </c>
    </row>
    <row r="12" spans="1:27" ht="54" customHeight="1" x14ac:dyDescent="0.3">
      <c r="C12" s="16" t="s">
        <v>88</v>
      </c>
      <c r="D12" s="17" t="s">
        <v>89</v>
      </c>
      <c r="E12" s="18">
        <v>450000</v>
      </c>
      <c r="F12" s="18">
        <v>80000</v>
      </c>
      <c r="G12" s="19">
        <f t="shared" si="0"/>
        <v>530000</v>
      </c>
      <c r="H12" s="27" t="s">
        <v>90</v>
      </c>
      <c r="I12" s="21" t="s">
        <v>91</v>
      </c>
      <c r="J12" s="21" t="s">
        <v>92</v>
      </c>
      <c r="K12" s="21" t="s">
        <v>93</v>
      </c>
      <c r="L12" s="22" t="s">
        <v>94</v>
      </c>
      <c r="M12" s="21" t="s">
        <v>30</v>
      </c>
      <c r="N12" s="23" t="s">
        <v>95</v>
      </c>
      <c r="O12" s="24" t="s">
        <v>32</v>
      </c>
      <c r="P12" s="21" t="s">
        <v>96</v>
      </c>
      <c r="Q12" s="21" t="s">
        <v>97</v>
      </c>
      <c r="R12" s="24">
        <v>2</v>
      </c>
      <c r="S12" s="23" t="s">
        <v>98</v>
      </c>
    </row>
    <row r="13" spans="1:27" ht="54" customHeight="1" x14ac:dyDescent="0.3">
      <c r="C13" s="7" t="s">
        <v>99</v>
      </c>
      <c r="D13" s="8" t="s">
        <v>100</v>
      </c>
      <c r="E13" s="9">
        <v>340000</v>
      </c>
      <c r="F13" s="9">
        <v>50000</v>
      </c>
      <c r="G13" s="10">
        <f t="shared" si="0"/>
        <v>390000</v>
      </c>
      <c r="H13" s="26" t="s">
        <v>101</v>
      </c>
      <c r="I13" s="12" t="s">
        <v>102</v>
      </c>
      <c r="J13" s="12" t="s">
        <v>103</v>
      </c>
      <c r="K13" s="12" t="s">
        <v>104</v>
      </c>
      <c r="L13" s="13" t="s">
        <v>42</v>
      </c>
      <c r="M13" s="12" t="s">
        <v>105</v>
      </c>
      <c r="N13" s="14" t="s">
        <v>106</v>
      </c>
      <c r="O13" s="15" t="s">
        <v>32</v>
      </c>
      <c r="P13" s="12" t="s">
        <v>107</v>
      </c>
      <c r="Q13" s="12" t="s">
        <v>108</v>
      </c>
      <c r="R13" s="15">
        <v>2</v>
      </c>
      <c r="S13" s="14" t="s">
        <v>109</v>
      </c>
    </row>
    <row r="14" spans="1:27" ht="54" customHeight="1" x14ac:dyDescent="0.3">
      <c r="C14" s="16" t="s">
        <v>110</v>
      </c>
      <c r="D14" s="17" t="s">
        <v>111</v>
      </c>
      <c r="E14" s="18">
        <v>280000</v>
      </c>
      <c r="F14" s="28">
        <f>80000</f>
        <v>80000</v>
      </c>
      <c r="G14" s="19">
        <f t="shared" si="0"/>
        <v>360000</v>
      </c>
      <c r="H14" s="20" t="s">
        <v>112</v>
      </c>
      <c r="I14" s="21" t="s">
        <v>113</v>
      </c>
      <c r="J14" s="21" t="s">
        <v>114</v>
      </c>
      <c r="K14" s="21" t="s">
        <v>115</v>
      </c>
      <c r="L14" s="22" t="s">
        <v>116</v>
      </c>
      <c r="M14" s="21" t="s">
        <v>117</v>
      </c>
      <c r="N14" s="23" t="s">
        <v>118</v>
      </c>
      <c r="O14" s="24" t="s">
        <v>32</v>
      </c>
      <c r="P14" s="21" t="s">
        <v>96</v>
      </c>
      <c r="Q14" s="21" t="s">
        <v>119</v>
      </c>
      <c r="R14" s="24">
        <v>2</v>
      </c>
      <c r="S14" s="23" t="s">
        <v>120</v>
      </c>
    </row>
    <row r="15" spans="1:27" ht="24" customHeight="1" x14ac:dyDescent="0.25">
      <c r="A15" s="29"/>
      <c r="B15" s="29"/>
      <c r="C15" s="55" t="s">
        <v>121</v>
      </c>
      <c r="D15" s="55"/>
      <c r="E15" s="30">
        <f>AVERAGE(E6:E14)</f>
        <v>362800</v>
      </c>
      <c r="F15" s="30">
        <f>AVERAGE(F6:F14)</f>
        <v>74444.444444444438</v>
      </c>
      <c r="G15" s="31">
        <f>AVERAGE(G6:G14)</f>
        <v>437244.44444444444</v>
      </c>
      <c r="H15" s="52" t="s">
        <v>122</v>
      </c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29"/>
      <c r="U15" s="29"/>
      <c r="V15" s="29"/>
      <c r="W15" s="29"/>
    </row>
    <row r="16" spans="1:27" ht="24" customHeight="1" x14ac:dyDescent="0.25">
      <c r="A16" s="29"/>
      <c r="B16" s="29"/>
      <c r="C16" s="45" t="s">
        <v>123</v>
      </c>
      <c r="D16" s="45"/>
      <c r="E16" s="32">
        <f>MIN(E6:E14)</f>
        <v>279000</v>
      </c>
      <c r="F16" s="32">
        <f>MIN(F6:F14)</f>
        <v>40000</v>
      </c>
      <c r="G16" s="33">
        <f>MIN(G6:G14)</f>
        <v>319000</v>
      </c>
      <c r="H16" s="46" t="s">
        <v>124</v>
      </c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29"/>
      <c r="U16" s="29"/>
      <c r="V16" s="29"/>
      <c r="W16" s="29"/>
      <c r="X16" s="29"/>
      <c r="Y16" s="29"/>
      <c r="Z16" s="29"/>
      <c r="AA16" s="29"/>
    </row>
    <row r="17" spans="1:75" ht="24" customHeight="1" x14ac:dyDescent="0.25">
      <c r="A17" s="29"/>
      <c r="B17" s="29"/>
      <c r="C17" s="43" t="s">
        <v>125</v>
      </c>
      <c r="D17" s="43"/>
      <c r="E17" s="34">
        <f>MAX(E6:E14)</f>
        <v>480000</v>
      </c>
      <c r="F17" s="34">
        <f>MAX(F6:F14)</f>
        <v>120000</v>
      </c>
      <c r="G17" s="35">
        <f>MAX(G6:G14)</f>
        <v>600000</v>
      </c>
      <c r="H17" s="44" t="s">
        <v>126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</row>
    <row r="18" spans="1:75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</row>
    <row r="19" spans="1:75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</row>
    <row r="20" spans="1:75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75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</row>
    <row r="22" spans="1:75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</row>
    <row r="23" spans="1:75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75" x14ac:dyDescent="0.25">
      <c r="A24" s="29"/>
      <c r="B24" s="29"/>
      <c r="C24" s="29"/>
      <c r="D24" s="29"/>
      <c r="E24" s="29"/>
      <c r="F24" s="29"/>
      <c r="G24" s="36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</row>
    <row r="25" spans="1:75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</row>
    <row r="26" spans="1:75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</row>
    <row r="27" spans="1:75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</row>
    <row r="28" spans="1:75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</row>
  </sheetData>
  <mergeCells count="17">
    <mergeCell ref="C15:D15"/>
    <mergeCell ref="C2:S2"/>
    <mergeCell ref="S4:S5"/>
    <mergeCell ref="L4:N4"/>
    <mergeCell ref="C17:D17"/>
    <mergeCell ref="H17:S17"/>
    <mergeCell ref="C16:D16"/>
    <mergeCell ref="D4:D5"/>
    <mergeCell ref="H16:S16"/>
    <mergeCell ref="D8:D9"/>
    <mergeCell ref="E4:G4"/>
    <mergeCell ref="H4:K4"/>
    <mergeCell ref="O4:R4"/>
    <mergeCell ref="H15:S15"/>
    <mergeCell ref="C3:S3"/>
    <mergeCell ref="C8:C9"/>
    <mergeCell ref="C4:C5"/>
  </mergeCells>
  <phoneticPr fontId="2" type="noConversion"/>
  <hyperlinks>
    <hyperlink ref="D6" r:id="rId1" xr:uid="{00000000-0004-0000-0000-000000000000}"/>
    <hyperlink ref="D7" r:id="rId2" xr:uid="{00000000-0004-0000-0000-000001000000}"/>
    <hyperlink ref="D8" r:id="rId3" xr:uid="{00000000-0004-0000-0000-000002000000}"/>
    <hyperlink ref="D10" r:id="rId4" xr:uid="{00000000-0004-0000-0000-000003000000}"/>
    <hyperlink ref="D11" r:id="rId5" xr:uid="{00000000-0004-0000-0000-000004000000}"/>
    <hyperlink ref="D12" r:id="rId6" xr:uid="{00000000-0004-0000-0000-000005000000}"/>
    <hyperlink ref="D13" r:id="rId7" xr:uid="{00000000-0004-0000-0000-000006000000}"/>
    <hyperlink ref="D14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Song</dc:creator>
  <cp:lastModifiedBy>Jaeyoung Song</cp:lastModifiedBy>
  <dcterms:created xsi:type="dcterms:W3CDTF">2026-10-13T02:03:42Z</dcterms:created>
  <dcterms:modified xsi:type="dcterms:W3CDTF">2026-10-13T05:30:47Z</dcterms:modified>
</cp:coreProperties>
</file>